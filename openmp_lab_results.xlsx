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F7165A-E553-4EEB-A09F-D23EFD452F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1" sheetId="1" r:id="rId1"/>
    <sheet name="Amdahl" sheetId="2" r:id="rId2"/>
    <sheet name="Answers C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2" l="1"/>
  <c r="A8" i="2"/>
  <c r="A7" i="2"/>
  <c r="A6" i="2"/>
  <c r="D6" i="2" s="1"/>
  <c r="B5" i="2"/>
  <c r="A5" i="2"/>
  <c r="E5" i="2" s="1"/>
  <c r="D26" i="1"/>
  <c r="D25" i="1"/>
  <c r="E24" i="1"/>
  <c r="C24" i="1"/>
  <c r="B24" i="1"/>
  <c r="E23" i="1"/>
  <c r="C23" i="1"/>
  <c r="B23" i="1"/>
  <c r="E22" i="1"/>
  <c r="C22" i="1"/>
  <c r="B22" i="1"/>
  <c r="E25" i="1" s="1"/>
  <c r="C18" i="1"/>
  <c r="C12" i="1"/>
  <c r="C11" i="1"/>
  <c r="D10" i="1"/>
  <c r="B9" i="2" s="1"/>
  <c r="B10" i="1"/>
  <c r="D9" i="1"/>
  <c r="E9" i="1" s="1"/>
  <c r="C8" i="2" s="1"/>
  <c r="B9" i="1"/>
  <c r="D8" i="1"/>
  <c r="B7" i="2" s="1"/>
  <c r="B8" i="1"/>
  <c r="D7" i="1"/>
  <c r="B6" i="2" s="1"/>
  <c r="B7" i="1"/>
  <c r="D6" i="1"/>
  <c r="E6" i="1" s="1"/>
  <c r="C5" i="2" s="1"/>
  <c r="B6" i="1"/>
  <c r="D7" i="2" l="1"/>
  <c r="E7" i="2" s="1"/>
  <c r="D5" i="2"/>
  <c r="B8" i="2"/>
  <c r="A12" i="2" s="1"/>
  <c r="D8" i="2"/>
  <c r="E8" i="2" s="1"/>
  <c r="E10" i="1"/>
  <c r="C9" i="2" s="1"/>
  <c r="E6" i="2"/>
  <c r="E7" i="1"/>
  <c r="C6" i="2" s="1"/>
  <c r="E8" i="1"/>
  <c r="C7" i="2" s="1"/>
  <c r="D9" i="2"/>
  <c r="F9" i="2" l="1"/>
  <c r="F6" i="2"/>
  <c r="F8" i="2"/>
  <c r="F5" i="2"/>
  <c r="F7" i="2"/>
  <c r="E9" i="2"/>
</calcChain>
</file>

<file path=xl/sharedStrings.xml><?xml version="1.0" encoding="utf-8"?>
<sst xmlns="http://schemas.openxmlformats.org/spreadsheetml/2006/main" count="63" uniqueCount="51">
  <si>
    <t>OpenMP Multi-Core Scaling Lab - Student Result Scorecard (Table 1)</t>
  </si>
  <si>
    <t>Hardware / CPU:</t>
  </si>
  <si>
    <t>AMD Ryzen 7 7735HS (8 cores / 16 threads)</t>
  </si>
  <si>
    <t>Hardware threads:</t>
  </si>
  <si>
    <t>(numba.config.NUMBA_NUM_THREADS, from your c1 run)</t>
  </si>
  <si>
    <t>Challenge 1: Monte Carlo pi (120,000,000 samples)</t>
  </si>
  <si>
    <t>Active Threads</t>
  </si>
  <si>
    <t>Samples</t>
  </si>
  <si>
    <t>Time (s)</t>
  </si>
  <si>
    <t>Speedup</t>
  </si>
  <si>
    <t>Efficiency (%)</t>
  </si>
  <si>
    <t>T_1 (1 thread):</t>
  </si>
  <si>
    <t>s</t>
  </si>
  <si>
    <t>T_max (max threads):</t>
  </si>
  <si>
    <t>Challenge 2: Mandelbrot 2500 x 2500, max_iter 1000, max threads</t>
  </si>
  <si>
    <t>Decomposition</t>
  </si>
  <si>
    <t>Array Size</t>
  </si>
  <si>
    <t>Rows (prange over r)</t>
  </si>
  <si>
    <t>2500 x 2500</t>
  </si>
  <si>
    <t>N/A</t>
  </si>
  <si>
    <t>Cols (prange over c)</t>
  </si>
  <si>
    <t>Cols vs Rows time difference:</t>
  </si>
  <si>
    <t>faster for cols; small gap, likely run-to-run noise</t>
  </si>
  <si>
    <t>Challenge 3: Heat stencil 1500 x 1500 x 300 steps, max threads</t>
  </si>
  <si>
    <t>Run</t>
  </si>
  <si>
    <t>Grid</t>
  </si>
  <si>
    <t>Steps</t>
  </si>
  <si>
    <t>Megacells/s</t>
  </si>
  <si>
    <t>Grid size</t>
  </si>
  <si>
    <t>float64 run 1</t>
  </si>
  <si>
    <t>float64 run 2</t>
  </si>
  <si>
    <t>float32 run 1</t>
  </si>
  <si>
    <t>float64 average (for Table 1):</t>
  </si>
  <si>
    <t>float64 / float32 runtime ratio:</t>
  </si>
  <si>
    <t>Amdahl's Law estimate from Challenge 1</t>
  </si>
  <si>
    <t>Effective serial fraction f = (1/S - 1/N) / (1 - 1/N); ceiling = 1/f. Mixes true serial code with SMT, turbo-frequency and overhead effects.</t>
  </si>
  <si>
    <t>Threads (N)</t>
  </si>
  <si>
    <t>Speedup (S)</t>
  </si>
  <si>
    <t>Serial fraction f</t>
  </si>
  <si>
    <t>Speedup ceiling 1/f</t>
  </si>
  <si>
    <t>Predicted S (Amdahl, f from max)</t>
  </si>
  <si>
    <t>Note: the 8-to-16 thread step gave only 1.57x instead of 2x, consistent with 16 logical threads sharing 8 physical cores (SMT).</t>
  </si>
  <si>
    <t>Challenge 1 - draft talking points (rewrite in your own words)</t>
  </si>
  <si>
    <t>Q</t>
  </si>
  <si>
    <t>Key points</t>
  </si>
  <si>
    <t>B</t>
  </si>
  <si>
    <t>The first call to an @njit function includes JIT compilation (seconds). That one-off cost does not scale with threads, so it would distort T_1 and every speedup. The 10,000-sample call compiles for the same argument type (int) and also starts the thread pool.</t>
  </si>
  <si>
    <t>C</t>
  </si>
  <si>
    <t>No: efficiency fell to about 50.6% at 16 threads. Monte Carlo barely touches memory, so the memory bus is not the main cause. Likely causes: SMT (16 logical threads on the 8 physical cores of the Ryzen 7 7735HS share execution units), lower all-core clock than single-core turbo, and thread start-up, partitioning and reduction overhead plus background OS load.</t>
  </si>
  <si>
    <t>D</t>
  </si>
  <si>
    <t>Numba recognises inside_circle += 1 inside prange as a reduction. Each thread keeps a private copy starting at 0, and the copies are summed at the end, like OpenMP reduction(+:inside_circle). No two threads write the shared variable at once, so there is no race.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</si>
</sst>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\x"/>
    <numFmt numFmtId="166" formatCode="0.0"/>
    <numFmt numFmtId="167" formatCode="0.000"/>
    <numFmt numFmtId="168" formatCode="0.0%"/>
    <numFmt numFmtId="169" formatCode="0.0\x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name val="Arial"/>
      <charset val="1"/>
    </font>
    <font>
      <sz val="10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/>
    <xf numFmtId="0" fontId="3" fillId="0" borderId="1" xfId="0" applyFont="1" applyBorder="1" applyAlignment="1"/>
    <xf numFmtId="3" fontId="6" fillId="0" borderId="1" xfId="0" applyNumberFormat="1" applyFont="1" applyBorder="1" applyAlignment="1"/>
    <xf numFmtId="164" fontId="3" fillId="0" borderId="1" xfId="0" applyNumberFormat="1" applyFont="1" applyBorder="1" applyAlignment="1"/>
    <xf numFmtId="165" fontId="6" fillId="0" borderId="1" xfId="0" applyNumberFormat="1" applyFont="1" applyBorder="1" applyAlignment="1"/>
    <xf numFmtId="166" fontId="6" fillId="0" borderId="1" xfId="0" applyNumberFormat="1" applyFont="1" applyBorder="1" applyAlignment="1"/>
    <xf numFmtId="164" fontId="6" fillId="0" borderId="0" xfId="0" applyNumberFormat="1" applyFont="1" applyAlignment="1"/>
    <xf numFmtId="0" fontId="6" fillId="0" borderId="0" xfId="0" applyFont="1" applyAlignment="1"/>
    <xf numFmtId="0" fontId="6" fillId="0" borderId="1" xfId="0" applyFont="1" applyBorder="1" applyAlignment="1"/>
    <xf numFmtId="167" fontId="3" fillId="0" borderId="1" xfId="0" applyNumberFormat="1" applyFont="1" applyBorder="1" applyAlignment="1"/>
    <xf numFmtId="168" fontId="6" fillId="0" borderId="0" xfId="0" applyNumberFormat="1" applyFont="1" applyAlignment="1"/>
    <xf numFmtId="4" fontId="6" fillId="0" borderId="1" xfId="0" applyNumberFormat="1" applyFont="1" applyBorder="1" applyAlignment="1"/>
    <xf numFmtId="167" fontId="6" fillId="0" borderId="0" xfId="0" applyNumberFormat="1" applyFont="1" applyAlignment="1"/>
    <xf numFmtId="4" fontId="6" fillId="0" borderId="0" xfId="0" applyNumberFormat="1" applyFont="1" applyAlignment="1"/>
    <xf numFmtId="165" fontId="6" fillId="0" borderId="0" xfId="0" applyNumberFormat="1" applyFont="1" applyAlignment="1"/>
    <xf numFmtId="0" fontId="7" fillId="0" borderId="0" xfId="0" applyFont="1" applyAlignment="1"/>
    <xf numFmtId="0" fontId="8" fillId="0" borderId="1" xfId="0" applyFont="1" applyBorder="1" applyAlignment="1"/>
    <xf numFmtId="165" fontId="8" fillId="0" borderId="1" xfId="0" applyNumberFormat="1" applyFont="1" applyBorder="1" applyAlignment="1"/>
    <xf numFmtId="166" fontId="8" fillId="0" borderId="1" xfId="0" applyNumberFormat="1" applyFont="1" applyBorder="1" applyAlignment="1"/>
    <xf numFmtId="164" fontId="6" fillId="0" borderId="1" xfId="0" applyNumberFormat="1" applyFont="1" applyBorder="1" applyAlignment="1"/>
    <xf numFmtId="169" fontId="6" fillId="0" borderId="1" xfId="0" applyNumberFormat="1" applyFont="1" applyBorder="1" applyAlignment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3" zoomScaleNormal="100" workbookViewId="0">
      <selection activeCell="D37" sqref="D37"/>
    </sheetView>
  </sheetViews>
  <sheetFormatPr defaultColWidth="8.6640625" defaultRowHeight="14.4" x14ac:dyDescent="0.3"/>
  <cols>
    <col min="1" max="1" width="30" style="1" customWidth="1"/>
    <col min="2" max="2" width="14" style="1" customWidth="1"/>
    <col min="3" max="4" width="12" style="1" customWidth="1"/>
    <col min="5" max="5" width="16" style="1" customWidth="1"/>
    <col min="6" max="6" width="6" style="1" customWidth="1"/>
    <col min="7" max="7" width="12" style="1" customWidth="1"/>
    <col min="8" max="8" width="14" style="1" customWidth="1"/>
  </cols>
  <sheetData>
    <row r="1" spans="1:8" ht="17.25" customHeight="1" x14ac:dyDescent="0.3">
      <c r="A1" s="2" t="s">
        <v>0</v>
      </c>
    </row>
    <row r="2" spans="1:8" ht="15" customHeight="1" x14ac:dyDescent="0.3">
      <c r="A2" s="3" t="s">
        <v>1</v>
      </c>
      <c r="B2" s="4" t="s">
        <v>2</v>
      </c>
      <c r="D2" s="3" t="s">
        <v>3</v>
      </c>
      <c r="E2" s="4">
        <v>16</v>
      </c>
      <c r="F2" s="5" t="s">
        <v>4</v>
      </c>
    </row>
    <row r="4" spans="1:8" ht="15" customHeight="1" x14ac:dyDescent="0.3">
      <c r="A4" s="3" t="s">
        <v>5</v>
      </c>
    </row>
    <row r="5" spans="1:8" ht="27.75" customHeight="1" x14ac:dyDescent="0.3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G5" s="3" t="s">
        <v>7</v>
      </c>
      <c r="H5" s="7">
        <v>120000000</v>
      </c>
    </row>
    <row r="6" spans="1:8" ht="15" customHeight="1" x14ac:dyDescent="0.3">
      <c r="A6" s="8">
        <v>1</v>
      </c>
      <c r="B6" s="9">
        <f>$H$5</f>
        <v>120000000</v>
      </c>
      <c r="C6" s="10">
        <v>3.4577</v>
      </c>
      <c r="D6" s="11">
        <f>$C$6/C6</f>
        <v>1</v>
      </c>
      <c r="E6" s="12">
        <f>D6/A6*100</f>
        <v>100</v>
      </c>
    </row>
    <row r="7" spans="1:8" ht="15" customHeight="1" x14ac:dyDescent="0.3">
      <c r="A7" s="8">
        <v>2</v>
      </c>
      <c r="B7" s="9">
        <f>$H$5</f>
        <v>120000000</v>
      </c>
      <c r="C7" s="10">
        <v>2.1924000000000001</v>
      </c>
      <c r="D7" s="11">
        <f>$C$6/C7</f>
        <v>1.5771300857507753</v>
      </c>
      <c r="E7" s="12">
        <f>D7/A7*100</f>
        <v>78.856504287538769</v>
      </c>
    </row>
    <row r="8" spans="1:8" ht="15" customHeight="1" x14ac:dyDescent="0.3">
      <c r="A8" s="8">
        <v>4</v>
      </c>
      <c r="B8" s="9">
        <f>$H$5</f>
        <v>120000000</v>
      </c>
      <c r="C8" s="10">
        <v>1.1453</v>
      </c>
      <c r="D8" s="11">
        <f>$C$6/C8</f>
        <v>3.019034314153497</v>
      </c>
      <c r="E8" s="12">
        <f>D8/A8*100</f>
        <v>75.475857853837425</v>
      </c>
    </row>
    <row r="9" spans="1:8" ht="15" customHeight="1" x14ac:dyDescent="0.3">
      <c r="A9" s="8">
        <v>8</v>
      </c>
      <c r="B9" s="9">
        <f>$H$5</f>
        <v>120000000</v>
      </c>
      <c r="C9" s="10">
        <v>0.66910000000000003</v>
      </c>
      <c r="D9" s="11">
        <f>$C$6/C9</f>
        <v>5.1676879390225672</v>
      </c>
      <c r="E9" s="12">
        <f>D9/A9*100</f>
        <v>64.596099237782084</v>
      </c>
    </row>
    <row r="10" spans="1:8" ht="15" customHeight="1" x14ac:dyDescent="0.3">
      <c r="A10" s="8">
        <v>16</v>
      </c>
      <c r="B10" s="9">
        <f>$H$5</f>
        <v>120000000</v>
      </c>
      <c r="C10" s="10">
        <v>0.42709999999999998</v>
      </c>
      <c r="D10" s="11">
        <f>$C$6/C10</f>
        <v>8.0957621166003282</v>
      </c>
      <c r="E10" s="12">
        <f>D10/A10*100</f>
        <v>50.598513228752054</v>
      </c>
    </row>
    <row r="11" spans="1:8" ht="15" customHeight="1" x14ac:dyDescent="0.3">
      <c r="A11" s="3" t="s">
        <v>11</v>
      </c>
      <c r="C11" s="13">
        <f>C6</f>
        <v>3.4577</v>
      </c>
      <c r="D11" s="14" t="s">
        <v>12</v>
      </c>
    </row>
    <row r="12" spans="1:8" ht="15" customHeight="1" x14ac:dyDescent="0.3">
      <c r="A12" s="3" t="s">
        <v>13</v>
      </c>
      <c r="C12" s="13">
        <f>INDEX(C6:C10,MATCH(E2,A6:A10,0))</f>
        <v>0.42709999999999998</v>
      </c>
      <c r="D12" s="14" t="s">
        <v>12</v>
      </c>
    </row>
    <row r="14" spans="1:8" ht="15" customHeight="1" x14ac:dyDescent="0.3">
      <c r="A14" s="3" t="s">
        <v>14</v>
      </c>
    </row>
    <row r="15" spans="1:8" ht="15" customHeight="1" x14ac:dyDescent="0.3">
      <c r="A15" s="6" t="s">
        <v>15</v>
      </c>
      <c r="B15" s="6" t="s">
        <v>16</v>
      </c>
      <c r="C15" s="6" t="s">
        <v>8</v>
      </c>
      <c r="D15" s="6" t="s">
        <v>9</v>
      </c>
      <c r="E15" s="6" t="s">
        <v>10</v>
      </c>
    </row>
    <row r="16" spans="1:8" ht="15" customHeight="1" x14ac:dyDescent="0.3">
      <c r="A16" s="15" t="s">
        <v>17</v>
      </c>
      <c r="B16" s="15" t="s">
        <v>18</v>
      </c>
      <c r="C16" s="16">
        <v>1.1539999999999999</v>
      </c>
      <c r="D16" s="15" t="s">
        <v>19</v>
      </c>
      <c r="E16" s="15" t="s">
        <v>19</v>
      </c>
    </row>
    <row r="17" spans="1:8" ht="15" customHeight="1" x14ac:dyDescent="0.3">
      <c r="A17" s="15" t="s">
        <v>20</v>
      </c>
      <c r="B17" s="15" t="s">
        <v>18</v>
      </c>
      <c r="C17" s="16">
        <v>1.0880000000000001</v>
      </c>
      <c r="D17" s="15" t="s">
        <v>19</v>
      </c>
      <c r="E17" s="15" t="s">
        <v>19</v>
      </c>
    </row>
    <row r="18" spans="1:8" ht="15" customHeight="1" x14ac:dyDescent="0.3">
      <c r="A18" s="3" t="s">
        <v>21</v>
      </c>
      <c r="C18" s="17">
        <f>(C16-C17)/C16</f>
        <v>5.7192374350086519E-2</v>
      </c>
      <c r="D18" s="5" t="s">
        <v>22</v>
      </c>
    </row>
    <row r="20" spans="1:8" ht="15" customHeight="1" x14ac:dyDescent="0.3">
      <c r="A20" s="3" t="s">
        <v>23</v>
      </c>
    </row>
    <row r="21" spans="1:8" ht="15" customHeight="1" x14ac:dyDescent="0.3">
      <c r="A21" s="6" t="s">
        <v>24</v>
      </c>
      <c r="B21" s="6" t="s">
        <v>25</v>
      </c>
      <c r="C21" s="6" t="s">
        <v>26</v>
      </c>
      <c r="D21" s="6" t="s">
        <v>8</v>
      </c>
      <c r="E21" s="6" t="s">
        <v>27</v>
      </c>
      <c r="G21" s="3" t="s">
        <v>28</v>
      </c>
      <c r="H21" s="4">
        <v>1500</v>
      </c>
    </row>
    <row r="22" spans="1:8" ht="15" customHeight="1" x14ac:dyDescent="0.3">
      <c r="A22" s="15" t="s">
        <v>29</v>
      </c>
      <c r="B22" s="15">
        <f>$H$21</f>
        <v>1500</v>
      </c>
      <c r="C22" s="15">
        <f>$H$22</f>
        <v>300</v>
      </c>
      <c r="D22" s="16">
        <v>0.626</v>
      </c>
      <c r="E22" s="18">
        <f>IF(D22="","",B22*B22*C22/D22/1000000)</f>
        <v>1078.2747603833866</v>
      </c>
      <c r="G22" s="3" t="s">
        <v>26</v>
      </c>
      <c r="H22" s="4">
        <v>300</v>
      </c>
    </row>
    <row r="23" spans="1:8" ht="15" customHeight="1" x14ac:dyDescent="0.3">
      <c r="A23" s="15" t="s">
        <v>30</v>
      </c>
      <c r="B23" s="15">
        <f>$H$21</f>
        <v>1500</v>
      </c>
      <c r="C23" s="15">
        <f>$H$22</f>
        <v>300</v>
      </c>
      <c r="D23" s="16">
        <v>0.68500000000000005</v>
      </c>
      <c r="E23" s="18">
        <f>IF(D23="","",B23*B23*C23/D23/1000000)</f>
        <v>985.40145985401455</v>
      </c>
    </row>
    <row r="24" spans="1:8" ht="15" customHeight="1" x14ac:dyDescent="0.3">
      <c r="A24" s="15" t="s">
        <v>31</v>
      </c>
      <c r="B24" s="15">
        <f>$H$21</f>
        <v>1500</v>
      </c>
      <c r="C24" s="15">
        <f>$H$22</f>
        <v>300</v>
      </c>
      <c r="D24" s="16">
        <v>0.23899999999999999</v>
      </c>
      <c r="E24" s="18">
        <f>IF(D24="","",B24*B24*C24/D24/1000000)</f>
        <v>2824.2677824267785</v>
      </c>
    </row>
    <row r="25" spans="1:8" ht="15" customHeight="1" x14ac:dyDescent="0.3">
      <c r="A25" s="3" t="s">
        <v>32</v>
      </c>
      <c r="D25" s="19">
        <f>AVERAGE(D22:D23)</f>
        <v>0.65549999999999997</v>
      </c>
      <c r="E25" s="20">
        <f>B22*B22*C22/D25/1000000</f>
        <v>1029.7482837528605</v>
      </c>
    </row>
    <row r="26" spans="1:8" ht="15" customHeight="1" x14ac:dyDescent="0.3">
      <c r="A26" s="3" t="s">
        <v>33</v>
      </c>
      <c r="D26" s="21">
        <f>IF(D24="","",D25/D24)</f>
        <v>2.7426778242677825</v>
      </c>
    </row>
    <row r="28" spans="1:8" ht="15" customHeight="1" x14ac:dyDescent="0.3">
      <c r="A28" s="3"/>
    </row>
    <row r="29" spans="1:8" ht="15" customHeight="1" x14ac:dyDescent="0.3">
      <c r="A29" s="22"/>
    </row>
    <row r="30" spans="1:8" ht="15" customHeight="1" x14ac:dyDescent="0.3">
      <c r="A30" s="22"/>
    </row>
    <row r="31" spans="1:8" ht="15" customHeight="1" x14ac:dyDescent="0.3">
      <c r="A31" s="22"/>
    </row>
    <row r="32" spans="1:8" ht="15" customHeight="1" x14ac:dyDescent="0.3">
      <c r="A32" s="22"/>
    </row>
    <row r="33" spans="1:1" ht="15" customHeight="1" x14ac:dyDescent="0.3">
      <c r="A33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selection activeCell="D21" sqref="D21"/>
    </sheetView>
  </sheetViews>
  <sheetFormatPr defaultColWidth="8.6640625" defaultRowHeight="14.4" x14ac:dyDescent="0.3"/>
  <cols>
    <col min="1" max="2" width="14" style="1" customWidth="1"/>
    <col min="3" max="3" width="16" style="1" customWidth="1"/>
    <col min="4" max="4" width="18" style="1" customWidth="1"/>
    <col min="5" max="5" width="20" style="1" customWidth="1"/>
    <col min="6" max="6" width="30" style="1" customWidth="1"/>
  </cols>
  <sheetData>
    <row r="1" spans="1:6" ht="17.25" customHeight="1" x14ac:dyDescent="0.3">
      <c r="A1" s="2" t="s">
        <v>34</v>
      </c>
    </row>
    <row r="2" spans="1:6" ht="15" customHeight="1" x14ac:dyDescent="0.3">
      <c r="A2" s="5" t="s">
        <v>35</v>
      </c>
    </row>
    <row r="4" spans="1:6" ht="30" customHeight="1" x14ac:dyDescent="0.3">
      <c r="A4" s="6" t="s">
        <v>36</v>
      </c>
      <c r="B4" s="6" t="s">
        <v>37</v>
      </c>
      <c r="C4" s="6" t="s">
        <v>10</v>
      </c>
      <c r="D4" s="6" t="s">
        <v>38</v>
      </c>
      <c r="E4" s="6" t="s">
        <v>39</v>
      </c>
      <c r="F4" s="6" t="s">
        <v>40</v>
      </c>
    </row>
    <row r="5" spans="1:6" ht="15" customHeight="1" x14ac:dyDescent="0.3">
      <c r="A5" s="23">
        <f>'Table 1'!A6</f>
        <v>1</v>
      </c>
      <c r="B5" s="24">
        <f>'Table 1'!D6</f>
        <v>1</v>
      </c>
      <c r="C5" s="25">
        <f>'Table 1'!E6</f>
        <v>100</v>
      </c>
      <c r="D5" s="26" t="str">
        <f>IF(A5=1,"",(1/B5-1/A5)/(1-1/A5))</f>
        <v/>
      </c>
      <c r="E5" s="27" t="str">
        <f>IF(A5=1,"",1/D5)</f>
        <v/>
      </c>
      <c r="F5" s="11">
        <f>1/($D$9+(1-$D$9)/A5)</f>
        <v>1</v>
      </c>
    </row>
    <row r="6" spans="1:6" ht="15" customHeight="1" x14ac:dyDescent="0.3">
      <c r="A6" s="23">
        <f>'Table 1'!A7</f>
        <v>2</v>
      </c>
      <c r="B6" s="24">
        <f>'Table 1'!D7</f>
        <v>1.5771300857507753</v>
      </c>
      <c r="C6" s="25">
        <f>'Table 1'!E7</f>
        <v>78.856504287538769</v>
      </c>
      <c r="D6" s="26">
        <f>IF(A6=1,"",(1/B6-1/A6)/(1-1/A6))</f>
        <v>0.26812621106515899</v>
      </c>
      <c r="E6" s="27">
        <f>IF(A6=1,"",1/D6)</f>
        <v>3.7295868838313009</v>
      </c>
      <c r="F6" s="11">
        <f>1/($D$9+(1-$D$9)/A6)</f>
        <v>1.8777764502709922</v>
      </c>
    </row>
    <row r="7" spans="1:6" ht="15" customHeight="1" x14ac:dyDescent="0.3">
      <c r="A7" s="23">
        <f>'Table 1'!A8</f>
        <v>4</v>
      </c>
      <c r="B7" s="24">
        <f>'Table 1'!D8</f>
        <v>3.019034314153497</v>
      </c>
      <c r="C7" s="25">
        <f>'Table 1'!E8</f>
        <v>75.475857853837425</v>
      </c>
      <c r="D7" s="26">
        <f>IF(A7=1,"",(1/B7-1/A7)/(1-1/A7))</f>
        <v>0.10830899152615903</v>
      </c>
      <c r="E7" s="27">
        <f>IF(A7=1,"",1/D7)</f>
        <v>9.2328437917222956</v>
      </c>
      <c r="F7" s="11">
        <f>1/($D$9+(1-$D$9)/A7)</f>
        <v>3.3465283289134935</v>
      </c>
    </row>
    <row r="8" spans="1:6" ht="15" customHeight="1" x14ac:dyDescent="0.3">
      <c r="A8" s="23">
        <f>'Table 1'!A9</f>
        <v>8</v>
      </c>
      <c r="B8" s="24">
        <f>'Table 1'!D9</f>
        <v>5.1676879390225672</v>
      </c>
      <c r="C8" s="25">
        <f>'Table 1'!E9</f>
        <v>64.596099237782084</v>
      </c>
      <c r="D8" s="26">
        <f>IF(A8=1,"",(1/B8-1/A8)/(1-1/A8))</f>
        <v>7.8297299195584216E-2</v>
      </c>
      <c r="E8" s="27">
        <f>IF(A8=1,"",1/D8)</f>
        <v>12.771832620969864</v>
      </c>
      <c r="F8" s="11">
        <f>1/($D$9+(1-$D$9)/A8)</f>
        <v>5.4959150586514927</v>
      </c>
    </row>
    <row r="9" spans="1:6" ht="15" customHeight="1" x14ac:dyDescent="0.3">
      <c r="A9" s="23">
        <f>'Table 1'!A10</f>
        <v>16</v>
      </c>
      <c r="B9" s="24">
        <f>'Table 1'!D10</f>
        <v>8.0957621166003282</v>
      </c>
      <c r="C9" s="25">
        <f>'Table 1'!E10</f>
        <v>50.598513228752054</v>
      </c>
      <c r="D9" s="26">
        <f>IF(A9=1,"",(1/B9-1/A9)/(1-1/A9))</f>
        <v>6.5089510368163808E-2</v>
      </c>
      <c r="E9" s="27">
        <f>IF(A9=1,"",1/D9)</f>
        <v>15.363458633253355</v>
      </c>
      <c r="F9" s="11">
        <f>1/($D$9+(1-$D$9)/A9)</f>
        <v>8.0957621166003282</v>
      </c>
    </row>
    <row r="11" spans="1:6" ht="15" customHeight="1" x14ac:dyDescent="0.3">
      <c r="A11" s="22" t="s">
        <v>41</v>
      </c>
    </row>
    <row r="12" spans="1:6" ht="15" customHeight="1" x14ac:dyDescent="0.3">
      <c r="A12" s="22" t="e">
        <f>"Speedup gain 8 to 16 threads: "&amp;TEXT(B9/B8,"0.00")&amp;"x"</f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1" width="6" style="1" customWidth="1"/>
    <col min="2" max="2" width="110" style="1" customWidth="1"/>
  </cols>
  <sheetData>
    <row r="1" spans="1:2" ht="17.25" customHeight="1" x14ac:dyDescent="0.3">
      <c r="A1" s="2" t="s">
        <v>42</v>
      </c>
    </row>
    <row r="3" spans="1:2" ht="15" customHeight="1" x14ac:dyDescent="0.3">
      <c r="A3" s="6" t="s">
        <v>43</v>
      </c>
      <c r="B3" s="6" t="s">
        <v>44</v>
      </c>
    </row>
    <row r="4" spans="1:2" ht="75" customHeight="1" x14ac:dyDescent="0.3">
      <c r="A4" s="28" t="s">
        <v>45</v>
      </c>
      <c r="B4" s="28" t="s">
        <v>46</v>
      </c>
    </row>
    <row r="5" spans="1:2" ht="75" customHeight="1" x14ac:dyDescent="0.3">
      <c r="A5" s="28" t="s">
        <v>47</v>
      </c>
      <c r="B5" s="28" t="s">
        <v>48</v>
      </c>
    </row>
    <row r="6" spans="1:2" ht="75" customHeight="1" x14ac:dyDescent="0.3">
      <c r="A6" s="28" t="s">
        <v>49</v>
      </c>
      <c r="B6" s="28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Amdahl</vt:lpstr>
      <vt:lpstr>Answers 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2026-10-02T10:03:11Z</dcterms:created>
  <dcterms:modified xsi:type="dcterms:W3CDTF">2026-10-02T10:10:34Z</dcterms:modified>
  <dc:language>en-US</dc:language>
</cp:coreProperties>
</file>